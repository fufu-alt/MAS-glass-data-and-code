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6a8dc80dd49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9b925dfc574a3b"/>
  </x:sheets>
</x:workbook>
</file>

<file path=xl/sharedStrings.xml><?xml version="1.0" encoding="utf-8"?>
<x:sst xmlns:x="http://schemas.openxmlformats.org/spreadsheetml/2006/main">
  <x:si>
    <x:t xml:space="preserve">B3</x:t>
  </x:si>
  <x:si>
    <x:t xml:space="preserve">B1</x:t>
  </x:si>
  <x:si>
    <x:t xml:space="preserve">B2</x:t>
  </x:si>
  <x:si>
    <x:t xml:space="preserve">B4</x:t>
  </x:si>
  <x:si>
    <x:t xml:space="preserve">B5</x:t>
  </x:si>
</x:sst>
</file>

<file path=xl/styles.xml><?xml version="1.0" encoding="utf-8"?>
<x:styleSheet xmlns:x="http://schemas.openxmlformats.org/spreadsheetml/2006/main">
  <x:fonts count="14">
    <x:font>
      <x:sz val="11"/>
      <x:color theme="1"/>
      <x:name val="等线"/>
      <x:family val="2"/>
      <x:scheme val="minor"/>
    </x:font>
    <x:font>
      <x:sz val="12"/>
      <x:name val="Times New Roman"/>
      <x:family val="1"/>
    </x:font>
    <x:font>
      <x:sz val="9"/>
      <x:name val="等线"/>
      <x:family val="3"/>
      <x:scheme val="minor"/>
    </x:font>
    <x:font>
      <x:sz val="12"/>
      <x:name val="宋体"/>
      <x:family val="3"/>
    </x:font>
    <x:font>
      <x:sz val="9"/>
      <x:name val="宋体"/>
      <x:family val="3"/>
    </x:font>
    <x:font>
      <x:sz val="12"/>
      <x:name val="宋体"/>
      <x:family val="2"/>
    </x:font>
    <x:font>
      <x:sz val="12"/>
      <x:name val="宋体"/>
      <x:family val="1"/>
    </x:font>
    <x:font>
      <x:sz val="12"/>
      <x:name val="Times New Roman"/>
      <x:family val="1"/>
    </x:font>
    <x:font>
      <x:sz val="12"/>
      <x:color theme="1"/>
      <x:name val="Times New Roman"/>
      <x:family val="1"/>
    </x:font>
    <x:font>
      <x:sz val="12"/>
      <x:color rgb="FFFF0000"/>
      <x:name val="宋体"/>
      <x:family val="1"/>
    </x:font>
    <x:font>
      <x:sz val="12"/>
      <x:color rgb="FFFF0000"/>
      <x:name val="Times New Roman"/>
      <x:family val="1"/>
    </x:font>
    <x:font>
      <x:b/>
      <x:sz val="11"/>
      <x:color rgb="FF000000"/>
      <x:name val="Times New Roman"/>
      <x:family val="1"/>
    </x:font>
    <x:font>
      <x:b/>
      <x:sz val="11"/>
      <x:color rgb="FF000000"/>
      <x:name val="Times New Roman"/>
      <x:family val="3"/>
    </x:font>
    <x:font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1" fillId="0" borderId="0" xfId="0" applyFont="1" applyAlignment="1">
      <x:alignment horizontal="center"/>
    </x:xf>
    <x:xf numFmtId="0" fontId="6" fillId="0" borderId="0" xfId="0" applyFont="1" applyAlignment="1">
      <x:alignment horizontal="center" vertical="center"/>
    </x:xf>
    <x:xf numFmtId="0" fontId="8" fillId="0" borderId="0" xfId="0" applyFont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/>
    </x:xf>
    <x:xf numFmtId="0" fontId="7" fillId="0" borderId="0" xfId="0" applyFont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horizontal="center" wrapText="1"/>
    </x:xf>
    <x:xf numFmtId="0" fontId="13" fillId="0" borderId="0" xfId="0" applyNumberFormat="1" applyFont="1" applyFill="1" applyBorder="1" applyAlignment="1">
      <x:alignment horizontal="center" wrapText="1"/>
    </x:xf>
    <x:xf numFmtId="0" fontId="13" fillId="0" borderId="0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4ee2b5b877479c" /><Relationship Type="http://schemas.openxmlformats.org/officeDocument/2006/relationships/theme" Target="/xl/theme/theme1.xml" Id="R80b4c82c77674e62" /><Relationship Type="http://schemas.openxmlformats.org/officeDocument/2006/relationships/sharedStrings" Target="/xl/sharedStrings.xml" Id="Ra6d5ced1eaef4d10" /><Relationship Type="http://schemas.openxmlformats.org/officeDocument/2006/relationships/worksheet" Target="/xl/worksheets/sheet1.xml" Id="Rba9b925dfc574a3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.399999618530273"/>
  <x:cols>
    <x:col min="1" max="1" width="9" style="1" hidden="0" customWidth="1"/>
    <x:col min="2" max="2" width="18" style="1" hidden="0" customWidth="1"/>
    <x:col min="3" max="3" width="18" style="1" hidden="0" customWidth="1"/>
    <x:col min="4" max="4" width="18" style="1" hidden="0" customWidth="1"/>
    <x:col min="5" max="5" width="18" style="1" hidden="0" customWidth="1"/>
    <x:col min="6" max="6" width="17" style="1" hidden="0" customWidth="1"/>
    <x:col min="7" max="7" width="17" style="1" hidden="0" customWidth="1"/>
    <x:col min="8" max="11" width="9" style="1" customWidth="0"/>
    <x:col min="12" max="12" width="20" style="7" hidden="0" customWidth="1"/>
    <x:col min="13" max="13" width="20" style="1" hidden="0" customWidth="1"/>
    <x:col min="14" max="14" width="20" style="7" hidden="0" customWidth="1"/>
    <x:col min="15" max="15" width="20" style="1" hidden="0" customWidth="1"/>
    <x:col min="16" max="16" width="20" style="7" hidden="0" customWidth="1"/>
    <x:col min="17" max="18" width="9" style="1" customWidth="0"/>
    <x:col min="19" max="19" width="10.3984375" style="1" customWidth="1"/>
    <x:col min="20" max="20" width="13.3984375" style="1" customWidth="1"/>
    <x:col min="21" max="21" width="75" style="1" hidden="0" customWidth="1"/>
    <x:col min="22" max="22" width="16" style="1" hidden="0" customWidth="1"/>
    <x:col min="23" max="263" width="9" style="1" customWidth="0"/>
    <x:col min="264" max="264" width="7" style="1" customWidth="1"/>
    <x:col min="265" max="265" width="9" style="1" customWidth="0"/>
    <x:col min="266" max="266" width="9.46484375" style="1" customWidth="1"/>
    <x:col min="267" max="274" width="9" style="1" customWidth="0"/>
    <x:col min="275" max="275" width="10.3984375" style="1" customWidth="1"/>
    <x:col min="276" max="276" width="13.3984375" style="1" customWidth="1"/>
    <x:col min="277" max="277" width="35" style="1" customWidth="1"/>
    <x:col min="278" max="278" width="15.3984375" style="1" customWidth="1"/>
    <x:col min="279" max="519" width="9" style="1" customWidth="0"/>
    <x:col min="520" max="520" width="7" style="1" customWidth="1"/>
    <x:col min="521" max="521" width="9" style="1" customWidth="0"/>
    <x:col min="522" max="522" width="9.46484375" style="1" customWidth="1"/>
    <x:col min="523" max="530" width="9" style="1" customWidth="0"/>
    <x:col min="531" max="531" width="10.3984375" style="1" customWidth="1"/>
    <x:col min="532" max="532" width="13.3984375" style="1" customWidth="1"/>
    <x:col min="533" max="533" width="35" style="1" customWidth="1"/>
    <x:col min="534" max="534" width="15.3984375" style="1" customWidth="1"/>
    <x:col min="535" max="775" width="9" style="1" customWidth="0"/>
    <x:col min="776" max="776" width="7" style="1" customWidth="1"/>
    <x:col min="777" max="777" width="9" style="1" customWidth="0"/>
    <x:col min="778" max="778" width="9.46484375" style="1" customWidth="1"/>
    <x:col min="779" max="786" width="9" style="1" customWidth="0"/>
    <x:col min="787" max="787" width="10.3984375" style="1" customWidth="1"/>
    <x:col min="788" max="788" width="13.3984375" style="1" customWidth="1"/>
    <x:col min="789" max="789" width="35" style="1" customWidth="1"/>
    <x:col min="790" max="790" width="15.3984375" style="1" customWidth="1"/>
    <x:col min="791" max="1031" width="9" style="1" customWidth="0"/>
    <x:col min="1032" max="1032" width="7" style="1" customWidth="1"/>
    <x:col min="1033" max="1033" width="9" style="1" customWidth="0"/>
    <x:col min="1034" max="1034" width="9.46484375" style="1" customWidth="1"/>
    <x:col min="1035" max="1042" width="9" style="1" customWidth="0"/>
    <x:col min="1043" max="1043" width="10.3984375" style="1" customWidth="1"/>
    <x:col min="1044" max="1044" width="13.3984375" style="1" customWidth="1"/>
    <x:col min="1045" max="1045" width="35" style="1" customWidth="1"/>
    <x:col min="1046" max="1046" width="15.3984375" style="1" customWidth="1"/>
    <x:col min="1047" max="1287" width="9" style="1" customWidth="0"/>
    <x:col min="1288" max="1288" width="7" style="1" customWidth="1"/>
    <x:col min="1289" max="1289" width="9" style="1" customWidth="0"/>
    <x:col min="1290" max="1290" width="9.46484375" style="1" customWidth="1"/>
    <x:col min="1291" max="1298" width="9" style="1" customWidth="0"/>
    <x:col min="1299" max="1299" width="10.3984375" style="1" customWidth="1"/>
    <x:col min="1300" max="1300" width="13.3984375" style="1" customWidth="1"/>
    <x:col min="1301" max="1301" width="35" style="1" customWidth="1"/>
    <x:col min="1302" max="1302" width="15.3984375" style="1" customWidth="1"/>
    <x:col min="1303" max="1543" width="9" style="1" customWidth="0"/>
    <x:col min="1544" max="1544" width="7" style="1" customWidth="1"/>
    <x:col min="1545" max="1545" width="9" style="1" customWidth="0"/>
    <x:col min="1546" max="1546" width="9.46484375" style="1" customWidth="1"/>
    <x:col min="1547" max="1554" width="9" style="1" customWidth="0"/>
    <x:col min="1555" max="1555" width="10.3984375" style="1" customWidth="1"/>
    <x:col min="1556" max="1556" width="13.3984375" style="1" customWidth="1"/>
    <x:col min="1557" max="1557" width="35" style="1" customWidth="1"/>
    <x:col min="1558" max="1558" width="15.3984375" style="1" customWidth="1"/>
    <x:col min="1559" max="1799" width="9" style="1" customWidth="0"/>
    <x:col min="1800" max="1800" width="7" style="1" customWidth="1"/>
    <x:col min="1801" max="1801" width="9" style="1" customWidth="0"/>
    <x:col min="1802" max="1802" width="9.46484375" style="1" customWidth="1"/>
    <x:col min="1803" max="1810" width="9" style="1" customWidth="0"/>
    <x:col min="1811" max="1811" width="10.3984375" style="1" customWidth="1"/>
    <x:col min="1812" max="1812" width="13.3984375" style="1" customWidth="1"/>
    <x:col min="1813" max="1813" width="35" style="1" customWidth="1"/>
    <x:col min="1814" max="1814" width="15.3984375" style="1" customWidth="1"/>
    <x:col min="1815" max="2055" width="9" style="1" customWidth="0"/>
    <x:col min="2056" max="2056" width="7" style="1" customWidth="1"/>
    <x:col min="2057" max="2057" width="9" style="1" customWidth="0"/>
    <x:col min="2058" max="2058" width="9.46484375" style="1" customWidth="1"/>
    <x:col min="2059" max="2066" width="9" style="1" customWidth="0"/>
    <x:col min="2067" max="2067" width="10.3984375" style="1" customWidth="1"/>
    <x:col min="2068" max="2068" width="13.3984375" style="1" customWidth="1"/>
    <x:col min="2069" max="2069" width="35" style="1" customWidth="1"/>
    <x:col min="2070" max="2070" width="15.3984375" style="1" customWidth="1"/>
    <x:col min="2071" max="2311" width="9" style="1" customWidth="0"/>
    <x:col min="2312" max="2312" width="7" style="1" customWidth="1"/>
    <x:col min="2313" max="2313" width="9" style="1" customWidth="0"/>
    <x:col min="2314" max="2314" width="9.46484375" style="1" customWidth="1"/>
    <x:col min="2315" max="2322" width="9" style="1" customWidth="0"/>
    <x:col min="2323" max="2323" width="10.3984375" style="1" customWidth="1"/>
    <x:col min="2324" max="2324" width="13.3984375" style="1" customWidth="1"/>
    <x:col min="2325" max="2325" width="35" style="1" customWidth="1"/>
    <x:col min="2326" max="2326" width="15.3984375" style="1" customWidth="1"/>
    <x:col min="2327" max="2567" width="9" style="1" customWidth="0"/>
    <x:col min="2568" max="2568" width="7" style="1" customWidth="1"/>
    <x:col min="2569" max="2569" width="9" style="1" customWidth="0"/>
    <x:col min="2570" max="2570" width="9.46484375" style="1" customWidth="1"/>
    <x:col min="2571" max="2578" width="9" style="1" customWidth="0"/>
    <x:col min="2579" max="2579" width="10.3984375" style="1" customWidth="1"/>
    <x:col min="2580" max="2580" width="13.3984375" style="1" customWidth="1"/>
    <x:col min="2581" max="2581" width="35" style="1" customWidth="1"/>
    <x:col min="2582" max="2582" width="15.3984375" style="1" customWidth="1"/>
    <x:col min="2583" max="2823" width="9" style="1" customWidth="0"/>
    <x:col min="2824" max="2824" width="7" style="1" customWidth="1"/>
    <x:col min="2825" max="2825" width="9" style="1" customWidth="0"/>
    <x:col min="2826" max="2826" width="9.46484375" style="1" customWidth="1"/>
    <x:col min="2827" max="2834" width="9" style="1" customWidth="0"/>
    <x:col min="2835" max="2835" width="10.3984375" style="1" customWidth="1"/>
    <x:col min="2836" max="2836" width="13.3984375" style="1" customWidth="1"/>
    <x:col min="2837" max="2837" width="35" style="1" customWidth="1"/>
    <x:col min="2838" max="2838" width="15.3984375" style="1" customWidth="1"/>
    <x:col min="2839" max="3079" width="9" style="1" customWidth="0"/>
    <x:col min="3080" max="3080" width="7" style="1" customWidth="1"/>
    <x:col min="3081" max="3081" width="9" style="1" customWidth="0"/>
    <x:col min="3082" max="3082" width="9.46484375" style="1" customWidth="1"/>
    <x:col min="3083" max="3090" width="9" style="1" customWidth="0"/>
    <x:col min="3091" max="3091" width="10.3984375" style="1" customWidth="1"/>
    <x:col min="3092" max="3092" width="13.3984375" style="1" customWidth="1"/>
    <x:col min="3093" max="3093" width="35" style="1" customWidth="1"/>
    <x:col min="3094" max="3094" width="15.3984375" style="1" customWidth="1"/>
    <x:col min="3095" max="3335" width="9" style="1" customWidth="0"/>
    <x:col min="3336" max="3336" width="7" style="1" customWidth="1"/>
    <x:col min="3337" max="3337" width="9" style="1" customWidth="0"/>
    <x:col min="3338" max="3338" width="9.46484375" style="1" customWidth="1"/>
    <x:col min="3339" max="3346" width="9" style="1" customWidth="0"/>
    <x:col min="3347" max="3347" width="10.3984375" style="1" customWidth="1"/>
    <x:col min="3348" max="3348" width="13.3984375" style="1" customWidth="1"/>
    <x:col min="3349" max="3349" width="35" style="1" customWidth="1"/>
    <x:col min="3350" max="3350" width="15.3984375" style="1" customWidth="1"/>
    <x:col min="3351" max="3591" width="9" style="1" customWidth="0"/>
    <x:col min="3592" max="3592" width="7" style="1" customWidth="1"/>
    <x:col min="3593" max="3593" width="9" style="1" customWidth="0"/>
    <x:col min="3594" max="3594" width="9.46484375" style="1" customWidth="1"/>
    <x:col min="3595" max="3602" width="9" style="1" customWidth="0"/>
    <x:col min="3603" max="3603" width="10.3984375" style="1" customWidth="1"/>
    <x:col min="3604" max="3604" width="13.3984375" style="1" customWidth="1"/>
    <x:col min="3605" max="3605" width="35" style="1" customWidth="1"/>
    <x:col min="3606" max="3606" width="15.3984375" style="1" customWidth="1"/>
    <x:col min="3607" max="3847" width="9" style="1" customWidth="0"/>
    <x:col min="3848" max="3848" width="7" style="1" customWidth="1"/>
    <x:col min="3849" max="3849" width="9" style="1" customWidth="0"/>
    <x:col min="3850" max="3850" width="9.46484375" style="1" customWidth="1"/>
    <x:col min="3851" max="3858" width="9" style="1" customWidth="0"/>
    <x:col min="3859" max="3859" width="10.3984375" style="1" customWidth="1"/>
    <x:col min="3860" max="3860" width="13.3984375" style="1" customWidth="1"/>
    <x:col min="3861" max="3861" width="35" style="1" customWidth="1"/>
    <x:col min="3862" max="3862" width="15.3984375" style="1" customWidth="1"/>
    <x:col min="3863" max="4103" width="9" style="1" customWidth="0"/>
    <x:col min="4104" max="4104" width="7" style="1" customWidth="1"/>
    <x:col min="4105" max="4105" width="9" style="1" customWidth="0"/>
    <x:col min="4106" max="4106" width="9.46484375" style="1" customWidth="1"/>
    <x:col min="4107" max="4114" width="9" style="1" customWidth="0"/>
    <x:col min="4115" max="4115" width="10.3984375" style="1" customWidth="1"/>
    <x:col min="4116" max="4116" width="13.3984375" style="1" customWidth="1"/>
    <x:col min="4117" max="4117" width="35" style="1" customWidth="1"/>
    <x:col min="4118" max="4118" width="15.3984375" style="1" customWidth="1"/>
    <x:col min="4119" max="4359" width="9" style="1" customWidth="0"/>
    <x:col min="4360" max="4360" width="7" style="1" customWidth="1"/>
    <x:col min="4361" max="4361" width="9" style="1" customWidth="0"/>
    <x:col min="4362" max="4362" width="9.46484375" style="1" customWidth="1"/>
    <x:col min="4363" max="4370" width="9" style="1" customWidth="0"/>
    <x:col min="4371" max="4371" width="10.3984375" style="1" customWidth="1"/>
    <x:col min="4372" max="4372" width="13.3984375" style="1" customWidth="1"/>
    <x:col min="4373" max="4373" width="35" style="1" customWidth="1"/>
    <x:col min="4374" max="4374" width="15.3984375" style="1" customWidth="1"/>
    <x:col min="4375" max="4615" width="9" style="1" customWidth="0"/>
    <x:col min="4616" max="4616" width="7" style="1" customWidth="1"/>
    <x:col min="4617" max="4617" width="9" style="1" customWidth="0"/>
    <x:col min="4618" max="4618" width="9.46484375" style="1" customWidth="1"/>
    <x:col min="4619" max="4626" width="9" style="1" customWidth="0"/>
    <x:col min="4627" max="4627" width="10.3984375" style="1" customWidth="1"/>
    <x:col min="4628" max="4628" width="13.3984375" style="1" customWidth="1"/>
    <x:col min="4629" max="4629" width="35" style="1" customWidth="1"/>
    <x:col min="4630" max="4630" width="15.3984375" style="1" customWidth="1"/>
    <x:col min="4631" max="4871" width="9" style="1" customWidth="0"/>
    <x:col min="4872" max="4872" width="7" style="1" customWidth="1"/>
    <x:col min="4873" max="4873" width="9" style="1" customWidth="0"/>
    <x:col min="4874" max="4874" width="9.46484375" style="1" customWidth="1"/>
    <x:col min="4875" max="4882" width="9" style="1" customWidth="0"/>
    <x:col min="4883" max="4883" width="10.3984375" style="1" customWidth="1"/>
    <x:col min="4884" max="4884" width="13.3984375" style="1" customWidth="1"/>
    <x:col min="4885" max="4885" width="35" style="1" customWidth="1"/>
    <x:col min="4886" max="4886" width="15.3984375" style="1" customWidth="1"/>
    <x:col min="4887" max="5127" width="9" style="1" customWidth="0"/>
    <x:col min="5128" max="5128" width="7" style="1" customWidth="1"/>
    <x:col min="5129" max="5129" width="9" style="1" customWidth="0"/>
    <x:col min="5130" max="5130" width="9.46484375" style="1" customWidth="1"/>
    <x:col min="5131" max="5138" width="9" style="1" customWidth="0"/>
    <x:col min="5139" max="5139" width="10.3984375" style="1" customWidth="1"/>
    <x:col min="5140" max="5140" width="13.3984375" style="1" customWidth="1"/>
    <x:col min="5141" max="5141" width="35" style="1" customWidth="1"/>
    <x:col min="5142" max="5142" width="15.3984375" style="1" customWidth="1"/>
    <x:col min="5143" max="5383" width="9" style="1" customWidth="0"/>
    <x:col min="5384" max="5384" width="7" style="1" customWidth="1"/>
    <x:col min="5385" max="5385" width="9" style="1" customWidth="0"/>
    <x:col min="5386" max="5386" width="9.46484375" style="1" customWidth="1"/>
    <x:col min="5387" max="5394" width="9" style="1" customWidth="0"/>
    <x:col min="5395" max="5395" width="10.3984375" style="1" customWidth="1"/>
    <x:col min="5396" max="5396" width="13.3984375" style="1" customWidth="1"/>
    <x:col min="5397" max="5397" width="35" style="1" customWidth="1"/>
    <x:col min="5398" max="5398" width="15.3984375" style="1" customWidth="1"/>
    <x:col min="5399" max="5639" width="9" style="1" customWidth="0"/>
    <x:col min="5640" max="5640" width="7" style="1" customWidth="1"/>
    <x:col min="5641" max="5641" width="9" style="1" customWidth="0"/>
    <x:col min="5642" max="5642" width="9.46484375" style="1" customWidth="1"/>
    <x:col min="5643" max="5650" width="9" style="1" customWidth="0"/>
    <x:col min="5651" max="5651" width="10.3984375" style="1" customWidth="1"/>
    <x:col min="5652" max="5652" width="13.3984375" style="1" customWidth="1"/>
    <x:col min="5653" max="5653" width="35" style="1" customWidth="1"/>
    <x:col min="5654" max="5654" width="15.3984375" style="1" customWidth="1"/>
    <x:col min="5655" max="5895" width="9" style="1" customWidth="0"/>
    <x:col min="5896" max="5896" width="7" style="1" customWidth="1"/>
    <x:col min="5897" max="5897" width="9" style="1" customWidth="0"/>
    <x:col min="5898" max="5898" width="9.46484375" style="1" customWidth="1"/>
    <x:col min="5899" max="5906" width="9" style="1" customWidth="0"/>
    <x:col min="5907" max="5907" width="10.3984375" style="1" customWidth="1"/>
    <x:col min="5908" max="5908" width="13.3984375" style="1" customWidth="1"/>
    <x:col min="5909" max="5909" width="35" style="1" customWidth="1"/>
    <x:col min="5910" max="5910" width="15.3984375" style="1" customWidth="1"/>
    <x:col min="5911" max="6151" width="9" style="1" customWidth="0"/>
    <x:col min="6152" max="6152" width="7" style="1" customWidth="1"/>
    <x:col min="6153" max="6153" width="9" style="1" customWidth="0"/>
    <x:col min="6154" max="6154" width="9.46484375" style="1" customWidth="1"/>
    <x:col min="6155" max="6162" width="9" style="1" customWidth="0"/>
    <x:col min="6163" max="6163" width="10.3984375" style="1" customWidth="1"/>
    <x:col min="6164" max="6164" width="13.3984375" style="1" customWidth="1"/>
    <x:col min="6165" max="6165" width="35" style="1" customWidth="1"/>
    <x:col min="6166" max="6166" width="15.3984375" style="1" customWidth="1"/>
    <x:col min="6167" max="6407" width="9" style="1" customWidth="0"/>
    <x:col min="6408" max="6408" width="7" style="1" customWidth="1"/>
    <x:col min="6409" max="6409" width="9" style="1" customWidth="0"/>
    <x:col min="6410" max="6410" width="9.46484375" style="1" customWidth="1"/>
    <x:col min="6411" max="6418" width="9" style="1" customWidth="0"/>
    <x:col min="6419" max="6419" width="10.3984375" style="1" customWidth="1"/>
    <x:col min="6420" max="6420" width="13.3984375" style="1" customWidth="1"/>
    <x:col min="6421" max="6421" width="35" style="1" customWidth="1"/>
    <x:col min="6422" max="6422" width="15.3984375" style="1" customWidth="1"/>
    <x:col min="6423" max="6663" width="9" style="1" customWidth="0"/>
    <x:col min="6664" max="6664" width="7" style="1" customWidth="1"/>
    <x:col min="6665" max="6665" width="9" style="1" customWidth="0"/>
    <x:col min="6666" max="6666" width="9.46484375" style="1" customWidth="1"/>
    <x:col min="6667" max="6674" width="9" style="1" customWidth="0"/>
    <x:col min="6675" max="6675" width="10.3984375" style="1" customWidth="1"/>
    <x:col min="6676" max="6676" width="13.3984375" style="1" customWidth="1"/>
    <x:col min="6677" max="6677" width="35" style="1" customWidth="1"/>
    <x:col min="6678" max="6678" width="15.3984375" style="1" customWidth="1"/>
    <x:col min="6679" max="6919" width="9" style="1" customWidth="0"/>
    <x:col min="6920" max="6920" width="7" style="1" customWidth="1"/>
    <x:col min="6921" max="6921" width="9" style="1" customWidth="0"/>
    <x:col min="6922" max="6922" width="9.46484375" style="1" customWidth="1"/>
    <x:col min="6923" max="6930" width="9" style="1" customWidth="0"/>
    <x:col min="6931" max="6931" width="10.3984375" style="1" customWidth="1"/>
    <x:col min="6932" max="6932" width="13.3984375" style="1" customWidth="1"/>
    <x:col min="6933" max="6933" width="35" style="1" customWidth="1"/>
    <x:col min="6934" max="6934" width="15.3984375" style="1" customWidth="1"/>
    <x:col min="6935" max="7175" width="9" style="1" customWidth="0"/>
    <x:col min="7176" max="7176" width="7" style="1" customWidth="1"/>
    <x:col min="7177" max="7177" width="9" style="1" customWidth="0"/>
    <x:col min="7178" max="7178" width="9.46484375" style="1" customWidth="1"/>
    <x:col min="7179" max="7186" width="9" style="1" customWidth="0"/>
    <x:col min="7187" max="7187" width="10.3984375" style="1" customWidth="1"/>
    <x:col min="7188" max="7188" width="13.3984375" style="1" customWidth="1"/>
    <x:col min="7189" max="7189" width="35" style="1" customWidth="1"/>
    <x:col min="7190" max="7190" width="15.3984375" style="1" customWidth="1"/>
    <x:col min="7191" max="7431" width="9" style="1" customWidth="0"/>
    <x:col min="7432" max="7432" width="7" style="1" customWidth="1"/>
    <x:col min="7433" max="7433" width="9" style="1" customWidth="0"/>
    <x:col min="7434" max="7434" width="9.46484375" style="1" customWidth="1"/>
    <x:col min="7435" max="7442" width="9" style="1" customWidth="0"/>
    <x:col min="7443" max="7443" width="10.3984375" style="1" customWidth="1"/>
    <x:col min="7444" max="7444" width="13.3984375" style="1" customWidth="1"/>
    <x:col min="7445" max="7445" width="35" style="1" customWidth="1"/>
    <x:col min="7446" max="7446" width="15.3984375" style="1" customWidth="1"/>
    <x:col min="7447" max="7687" width="9" style="1" customWidth="0"/>
    <x:col min="7688" max="7688" width="7" style="1" customWidth="1"/>
    <x:col min="7689" max="7689" width="9" style="1" customWidth="0"/>
    <x:col min="7690" max="7690" width="9.46484375" style="1" customWidth="1"/>
    <x:col min="7691" max="7698" width="9" style="1" customWidth="0"/>
    <x:col min="7699" max="7699" width="10.3984375" style="1" customWidth="1"/>
    <x:col min="7700" max="7700" width="13.3984375" style="1" customWidth="1"/>
    <x:col min="7701" max="7701" width="35" style="1" customWidth="1"/>
    <x:col min="7702" max="7702" width="15.3984375" style="1" customWidth="1"/>
    <x:col min="7703" max="7943" width="9" style="1" customWidth="0"/>
    <x:col min="7944" max="7944" width="7" style="1" customWidth="1"/>
    <x:col min="7945" max="7945" width="9" style="1" customWidth="0"/>
    <x:col min="7946" max="7946" width="9.46484375" style="1" customWidth="1"/>
    <x:col min="7947" max="7954" width="9" style="1" customWidth="0"/>
    <x:col min="7955" max="7955" width="10.3984375" style="1" customWidth="1"/>
    <x:col min="7956" max="7956" width="13.3984375" style="1" customWidth="1"/>
    <x:col min="7957" max="7957" width="35" style="1" customWidth="1"/>
    <x:col min="7958" max="7958" width="15.3984375" style="1" customWidth="1"/>
    <x:col min="7959" max="8199" width="9" style="1" customWidth="0"/>
    <x:col min="8200" max="8200" width="7" style="1" customWidth="1"/>
    <x:col min="8201" max="8201" width="9" style="1" customWidth="0"/>
    <x:col min="8202" max="8202" width="9.46484375" style="1" customWidth="1"/>
    <x:col min="8203" max="8210" width="9" style="1" customWidth="0"/>
    <x:col min="8211" max="8211" width="10.3984375" style="1" customWidth="1"/>
    <x:col min="8212" max="8212" width="13.3984375" style="1" customWidth="1"/>
    <x:col min="8213" max="8213" width="35" style="1" customWidth="1"/>
    <x:col min="8214" max="8214" width="15.3984375" style="1" customWidth="1"/>
    <x:col min="8215" max="8455" width="9" style="1" customWidth="0"/>
    <x:col min="8456" max="8456" width="7" style="1" customWidth="1"/>
    <x:col min="8457" max="8457" width="9" style="1" customWidth="0"/>
    <x:col min="8458" max="8458" width="9.46484375" style="1" customWidth="1"/>
    <x:col min="8459" max="8466" width="9" style="1" customWidth="0"/>
    <x:col min="8467" max="8467" width="10.3984375" style="1" customWidth="1"/>
    <x:col min="8468" max="8468" width="13.3984375" style="1" customWidth="1"/>
    <x:col min="8469" max="8469" width="35" style="1" customWidth="1"/>
    <x:col min="8470" max="8470" width="15.3984375" style="1" customWidth="1"/>
    <x:col min="8471" max="8711" width="9" style="1" customWidth="0"/>
    <x:col min="8712" max="8712" width="7" style="1" customWidth="1"/>
    <x:col min="8713" max="8713" width="9" style="1" customWidth="0"/>
    <x:col min="8714" max="8714" width="9.46484375" style="1" customWidth="1"/>
    <x:col min="8715" max="8722" width="9" style="1" customWidth="0"/>
    <x:col min="8723" max="8723" width="10.3984375" style="1" customWidth="1"/>
    <x:col min="8724" max="8724" width="13.3984375" style="1" customWidth="1"/>
    <x:col min="8725" max="8725" width="35" style="1" customWidth="1"/>
    <x:col min="8726" max="8726" width="15.3984375" style="1" customWidth="1"/>
    <x:col min="8727" max="8967" width="9" style="1" customWidth="0"/>
    <x:col min="8968" max="8968" width="7" style="1" customWidth="1"/>
    <x:col min="8969" max="8969" width="9" style="1" customWidth="0"/>
    <x:col min="8970" max="8970" width="9.46484375" style="1" customWidth="1"/>
    <x:col min="8971" max="8978" width="9" style="1" customWidth="0"/>
    <x:col min="8979" max="8979" width="10.3984375" style="1" customWidth="1"/>
    <x:col min="8980" max="8980" width="13.3984375" style="1" customWidth="1"/>
    <x:col min="8981" max="8981" width="35" style="1" customWidth="1"/>
    <x:col min="8982" max="8982" width="15.3984375" style="1" customWidth="1"/>
    <x:col min="8983" max="9223" width="9" style="1" customWidth="0"/>
    <x:col min="9224" max="9224" width="7" style="1" customWidth="1"/>
    <x:col min="9225" max="9225" width="9" style="1" customWidth="0"/>
    <x:col min="9226" max="9226" width="9.46484375" style="1" customWidth="1"/>
    <x:col min="9227" max="9234" width="9" style="1" customWidth="0"/>
    <x:col min="9235" max="9235" width="10.3984375" style="1" customWidth="1"/>
    <x:col min="9236" max="9236" width="13.3984375" style="1" customWidth="1"/>
    <x:col min="9237" max="9237" width="35" style="1" customWidth="1"/>
    <x:col min="9238" max="9238" width="15.3984375" style="1" customWidth="1"/>
    <x:col min="9239" max="9479" width="9" style="1" customWidth="0"/>
    <x:col min="9480" max="9480" width="7" style="1" customWidth="1"/>
    <x:col min="9481" max="9481" width="9" style="1" customWidth="0"/>
    <x:col min="9482" max="9482" width="9.46484375" style="1" customWidth="1"/>
    <x:col min="9483" max="9490" width="9" style="1" customWidth="0"/>
    <x:col min="9491" max="9491" width="10.3984375" style="1" customWidth="1"/>
    <x:col min="9492" max="9492" width="13.3984375" style="1" customWidth="1"/>
    <x:col min="9493" max="9493" width="35" style="1" customWidth="1"/>
    <x:col min="9494" max="9494" width="15.3984375" style="1" customWidth="1"/>
    <x:col min="9495" max="9735" width="9" style="1" customWidth="0"/>
    <x:col min="9736" max="9736" width="7" style="1" customWidth="1"/>
    <x:col min="9737" max="9737" width="9" style="1" customWidth="0"/>
    <x:col min="9738" max="9738" width="9.46484375" style="1" customWidth="1"/>
    <x:col min="9739" max="9746" width="9" style="1" customWidth="0"/>
    <x:col min="9747" max="9747" width="10.3984375" style="1" customWidth="1"/>
    <x:col min="9748" max="9748" width="13.3984375" style="1" customWidth="1"/>
    <x:col min="9749" max="9749" width="35" style="1" customWidth="1"/>
    <x:col min="9750" max="9750" width="15.3984375" style="1" customWidth="1"/>
    <x:col min="9751" max="9991" width="9" style="1" customWidth="0"/>
    <x:col min="9992" max="9992" width="7" style="1" customWidth="1"/>
    <x:col min="9993" max="9993" width="9" style="1" customWidth="0"/>
    <x:col min="9994" max="9994" width="9.46484375" style="1" customWidth="1"/>
    <x:col min="9995" max="10002" width="9" style="1" customWidth="0"/>
    <x:col min="10003" max="10003" width="10.3984375" style="1" customWidth="1"/>
    <x:col min="10004" max="10004" width="13.3984375" style="1" customWidth="1"/>
    <x:col min="10005" max="10005" width="35" style="1" customWidth="1"/>
    <x:col min="10006" max="10006" width="15.3984375" style="1" customWidth="1"/>
    <x:col min="10007" max="10247" width="9" style="1" customWidth="0"/>
    <x:col min="10248" max="10248" width="7" style="1" customWidth="1"/>
    <x:col min="10249" max="10249" width="9" style="1" customWidth="0"/>
    <x:col min="10250" max="10250" width="9.46484375" style="1" customWidth="1"/>
    <x:col min="10251" max="10258" width="9" style="1" customWidth="0"/>
    <x:col min="10259" max="10259" width="10.3984375" style="1" customWidth="1"/>
    <x:col min="10260" max="10260" width="13.3984375" style="1" customWidth="1"/>
    <x:col min="10261" max="10261" width="35" style="1" customWidth="1"/>
    <x:col min="10262" max="10262" width="15.3984375" style="1" customWidth="1"/>
    <x:col min="10263" max="10503" width="9" style="1" customWidth="0"/>
    <x:col min="10504" max="10504" width="7" style="1" customWidth="1"/>
    <x:col min="10505" max="10505" width="9" style="1" customWidth="0"/>
    <x:col min="10506" max="10506" width="9.46484375" style="1" customWidth="1"/>
    <x:col min="10507" max="10514" width="9" style="1" customWidth="0"/>
    <x:col min="10515" max="10515" width="10.3984375" style="1" customWidth="1"/>
    <x:col min="10516" max="10516" width="13.3984375" style="1" customWidth="1"/>
    <x:col min="10517" max="10517" width="35" style="1" customWidth="1"/>
    <x:col min="10518" max="10518" width="15.3984375" style="1" customWidth="1"/>
    <x:col min="10519" max="10759" width="9" style="1" customWidth="0"/>
    <x:col min="10760" max="10760" width="7" style="1" customWidth="1"/>
    <x:col min="10761" max="10761" width="9" style="1" customWidth="0"/>
    <x:col min="10762" max="10762" width="9.46484375" style="1" customWidth="1"/>
    <x:col min="10763" max="10770" width="9" style="1" customWidth="0"/>
    <x:col min="10771" max="10771" width="10.3984375" style="1" customWidth="1"/>
    <x:col min="10772" max="10772" width="13.3984375" style="1" customWidth="1"/>
    <x:col min="10773" max="10773" width="35" style="1" customWidth="1"/>
    <x:col min="10774" max="10774" width="15.3984375" style="1" customWidth="1"/>
    <x:col min="10775" max="11015" width="9" style="1" customWidth="0"/>
    <x:col min="11016" max="11016" width="7" style="1" customWidth="1"/>
    <x:col min="11017" max="11017" width="9" style="1" customWidth="0"/>
    <x:col min="11018" max="11018" width="9.46484375" style="1" customWidth="1"/>
    <x:col min="11019" max="11026" width="9" style="1" customWidth="0"/>
    <x:col min="11027" max="11027" width="10.3984375" style="1" customWidth="1"/>
    <x:col min="11028" max="11028" width="13.3984375" style="1" customWidth="1"/>
    <x:col min="11029" max="11029" width="35" style="1" customWidth="1"/>
    <x:col min="11030" max="11030" width="15.3984375" style="1" customWidth="1"/>
    <x:col min="11031" max="11271" width="9" style="1" customWidth="0"/>
    <x:col min="11272" max="11272" width="7" style="1" customWidth="1"/>
    <x:col min="11273" max="11273" width="9" style="1" customWidth="0"/>
    <x:col min="11274" max="11274" width="9.46484375" style="1" customWidth="1"/>
    <x:col min="11275" max="11282" width="9" style="1" customWidth="0"/>
    <x:col min="11283" max="11283" width="10.3984375" style="1" customWidth="1"/>
    <x:col min="11284" max="11284" width="13.3984375" style="1" customWidth="1"/>
    <x:col min="11285" max="11285" width="35" style="1" customWidth="1"/>
    <x:col min="11286" max="11286" width="15.3984375" style="1" customWidth="1"/>
    <x:col min="11287" max="11527" width="9" style="1" customWidth="0"/>
    <x:col min="11528" max="11528" width="7" style="1" customWidth="1"/>
    <x:col min="11529" max="11529" width="9" style="1" customWidth="0"/>
    <x:col min="11530" max="11530" width="9.46484375" style="1" customWidth="1"/>
    <x:col min="11531" max="11538" width="9" style="1" customWidth="0"/>
    <x:col min="11539" max="11539" width="10.3984375" style="1" customWidth="1"/>
    <x:col min="11540" max="11540" width="13.3984375" style="1" customWidth="1"/>
    <x:col min="11541" max="11541" width="35" style="1" customWidth="1"/>
    <x:col min="11542" max="11542" width="15.3984375" style="1" customWidth="1"/>
    <x:col min="11543" max="11783" width="9" style="1" customWidth="0"/>
    <x:col min="11784" max="11784" width="7" style="1" customWidth="1"/>
    <x:col min="11785" max="11785" width="9" style="1" customWidth="0"/>
    <x:col min="11786" max="11786" width="9.46484375" style="1" customWidth="1"/>
    <x:col min="11787" max="11794" width="9" style="1" customWidth="0"/>
    <x:col min="11795" max="11795" width="10.3984375" style="1" customWidth="1"/>
    <x:col min="11796" max="11796" width="13.3984375" style="1" customWidth="1"/>
    <x:col min="11797" max="11797" width="35" style="1" customWidth="1"/>
    <x:col min="11798" max="11798" width="15.3984375" style="1" customWidth="1"/>
    <x:col min="11799" max="12039" width="9" style="1" customWidth="0"/>
    <x:col min="12040" max="12040" width="7" style="1" customWidth="1"/>
    <x:col min="12041" max="12041" width="9" style="1" customWidth="0"/>
    <x:col min="12042" max="12042" width="9.46484375" style="1" customWidth="1"/>
    <x:col min="12043" max="12050" width="9" style="1" customWidth="0"/>
    <x:col min="12051" max="12051" width="10.3984375" style="1" customWidth="1"/>
    <x:col min="12052" max="12052" width="13.3984375" style="1" customWidth="1"/>
    <x:col min="12053" max="12053" width="35" style="1" customWidth="1"/>
    <x:col min="12054" max="12054" width="15.3984375" style="1" customWidth="1"/>
    <x:col min="12055" max="12295" width="9" style="1" customWidth="0"/>
    <x:col min="12296" max="12296" width="7" style="1" customWidth="1"/>
    <x:col min="12297" max="12297" width="9" style="1" customWidth="0"/>
    <x:col min="12298" max="12298" width="9.46484375" style="1" customWidth="1"/>
    <x:col min="12299" max="12306" width="9" style="1" customWidth="0"/>
    <x:col min="12307" max="12307" width="10.3984375" style="1" customWidth="1"/>
    <x:col min="12308" max="12308" width="13.3984375" style="1" customWidth="1"/>
    <x:col min="12309" max="12309" width="35" style="1" customWidth="1"/>
    <x:col min="12310" max="12310" width="15.3984375" style="1" customWidth="1"/>
    <x:col min="12311" max="12551" width="9" style="1" customWidth="0"/>
    <x:col min="12552" max="12552" width="7" style="1" customWidth="1"/>
    <x:col min="12553" max="12553" width="9" style="1" customWidth="0"/>
    <x:col min="12554" max="12554" width="9.46484375" style="1" customWidth="1"/>
    <x:col min="12555" max="12562" width="9" style="1" customWidth="0"/>
    <x:col min="12563" max="12563" width="10.3984375" style="1" customWidth="1"/>
    <x:col min="12564" max="12564" width="13.3984375" style="1" customWidth="1"/>
    <x:col min="12565" max="12565" width="35" style="1" customWidth="1"/>
    <x:col min="12566" max="12566" width="15.3984375" style="1" customWidth="1"/>
    <x:col min="12567" max="12807" width="9" style="1" customWidth="0"/>
    <x:col min="12808" max="12808" width="7" style="1" customWidth="1"/>
    <x:col min="12809" max="12809" width="9" style="1" customWidth="0"/>
    <x:col min="12810" max="12810" width="9.46484375" style="1" customWidth="1"/>
    <x:col min="12811" max="12818" width="9" style="1" customWidth="0"/>
    <x:col min="12819" max="12819" width="10.3984375" style="1" customWidth="1"/>
    <x:col min="12820" max="12820" width="13.3984375" style="1" customWidth="1"/>
    <x:col min="12821" max="12821" width="35" style="1" customWidth="1"/>
    <x:col min="12822" max="12822" width="15.3984375" style="1" customWidth="1"/>
    <x:col min="12823" max="13063" width="9" style="1" customWidth="0"/>
    <x:col min="13064" max="13064" width="7" style="1" customWidth="1"/>
    <x:col min="13065" max="13065" width="9" style="1" customWidth="0"/>
    <x:col min="13066" max="13066" width="9.46484375" style="1" customWidth="1"/>
    <x:col min="13067" max="13074" width="9" style="1" customWidth="0"/>
    <x:col min="13075" max="13075" width="10.3984375" style="1" customWidth="1"/>
    <x:col min="13076" max="13076" width="13.3984375" style="1" customWidth="1"/>
    <x:col min="13077" max="13077" width="35" style="1" customWidth="1"/>
    <x:col min="13078" max="13078" width="15.3984375" style="1" customWidth="1"/>
    <x:col min="13079" max="13319" width="9" style="1" customWidth="0"/>
    <x:col min="13320" max="13320" width="7" style="1" customWidth="1"/>
    <x:col min="13321" max="13321" width="9" style="1" customWidth="0"/>
    <x:col min="13322" max="13322" width="9.46484375" style="1" customWidth="1"/>
    <x:col min="13323" max="13330" width="9" style="1" customWidth="0"/>
    <x:col min="13331" max="13331" width="10.3984375" style="1" customWidth="1"/>
    <x:col min="13332" max="13332" width="13.3984375" style="1" customWidth="1"/>
    <x:col min="13333" max="13333" width="35" style="1" customWidth="1"/>
    <x:col min="13334" max="13334" width="15.3984375" style="1" customWidth="1"/>
    <x:col min="13335" max="13575" width="9" style="1" customWidth="0"/>
    <x:col min="13576" max="13576" width="7" style="1" customWidth="1"/>
    <x:col min="13577" max="13577" width="9" style="1" customWidth="0"/>
    <x:col min="13578" max="13578" width="9.46484375" style="1" customWidth="1"/>
    <x:col min="13579" max="13586" width="9" style="1" customWidth="0"/>
    <x:col min="13587" max="13587" width="10.3984375" style="1" customWidth="1"/>
    <x:col min="13588" max="13588" width="13.3984375" style="1" customWidth="1"/>
    <x:col min="13589" max="13589" width="35" style="1" customWidth="1"/>
    <x:col min="13590" max="13590" width="15.3984375" style="1" customWidth="1"/>
    <x:col min="13591" max="13831" width="9" style="1" customWidth="0"/>
    <x:col min="13832" max="13832" width="7" style="1" customWidth="1"/>
    <x:col min="13833" max="13833" width="9" style="1" customWidth="0"/>
    <x:col min="13834" max="13834" width="9.46484375" style="1" customWidth="1"/>
    <x:col min="13835" max="13842" width="9" style="1" customWidth="0"/>
    <x:col min="13843" max="13843" width="10.3984375" style="1" customWidth="1"/>
    <x:col min="13844" max="13844" width="13.3984375" style="1" customWidth="1"/>
    <x:col min="13845" max="13845" width="35" style="1" customWidth="1"/>
    <x:col min="13846" max="13846" width="15.3984375" style="1" customWidth="1"/>
    <x:col min="13847" max="14087" width="9" style="1" customWidth="0"/>
    <x:col min="14088" max="14088" width="7" style="1" customWidth="1"/>
    <x:col min="14089" max="14089" width="9" style="1" customWidth="0"/>
    <x:col min="14090" max="14090" width="9.46484375" style="1" customWidth="1"/>
    <x:col min="14091" max="14098" width="9" style="1" customWidth="0"/>
    <x:col min="14099" max="14099" width="10.3984375" style="1" customWidth="1"/>
    <x:col min="14100" max="14100" width="13.3984375" style="1" customWidth="1"/>
    <x:col min="14101" max="14101" width="35" style="1" customWidth="1"/>
    <x:col min="14102" max="14102" width="15.3984375" style="1" customWidth="1"/>
    <x:col min="14103" max="14343" width="9" style="1" customWidth="0"/>
    <x:col min="14344" max="14344" width="7" style="1" customWidth="1"/>
    <x:col min="14345" max="14345" width="9" style="1" customWidth="0"/>
    <x:col min="14346" max="14346" width="9.46484375" style="1" customWidth="1"/>
    <x:col min="14347" max="14354" width="9" style="1" customWidth="0"/>
    <x:col min="14355" max="14355" width="10.3984375" style="1" customWidth="1"/>
    <x:col min="14356" max="14356" width="13.3984375" style="1" customWidth="1"/>
    <x:col min="14357" max="14357" width="35" style="1" customWidth="1"/>
    <x:col min="14358" max="14358" width="15.3984375" style="1" customWidth="1"/>
    <x:col min="14359" max="14599" width="9" style="1" customWidth="0"/>
    <x:col min="14600" max="14600" width="7" style="1" customWidth="1"/>
    <x:col min="14601" max="14601" width="9" style="1" customWidth="0"/>
    <x:col min="14602" max="14602" width="9.46484375" style="1" customWidth="1"/>
    <x:col min="14603" max="14610" width="9" style="1" customWidth="0"/>
    <x:col min="14611" max="14611" width="10.3984375" style="1" customWidth="1"/>
    <x:col min="14612" max="14612" width="13.3984375" style="1" customWidth="1"/>
    <x:col min="14613" max="14613" width="35" style="1" customWidth="1"/>
    <x:col min="14614" max="14614" width="15.3984375" style="1" customWidth="1"/>
    <x:col min="14615" max="14855" width="9" style="1" customWidth="0"/>
    <x:col min="14856" max="14856" width="7" style="1" customWidth="1"/>
    <x:col min="14857" max="14857" width="9" style="1" customWidth="0"/>
    <x:col min="14858" max="14858" width="9.46484375" style="1" customWidth="1"/>
    <x:col min="14859" max="14866" width="9" style="1" customWidth="0"/>
    <x:col min="14867" max="14867" width="10.3984375" style="1" customWidth="1"/>
    <x:col min="14868" max="14868" width="13.3984375" style="1" customWidth="1"/>
    <x:col min="14869" max="14869" width="35" style="1" customWidth="1"/>
    <x:col min="14870" max="14870" width="15.3984375" style="1" customWidth="1"/>
    <x:col min="14871" max="15111" width="9" style="1" customWidth="0"/>
    <x:col min="15112" max="15112" width="7" style="1" customWidth="1"/>
    <x:col min="15113" max="15113" width="9" style="1" customWidth="0"/>
    <x:col min="15114" max="15114" width="9.46484375" style="1" customWidth="1"/>
    <x:col min="15115" max="15122" width="9" style="1" customWidth="0"/>
    <x:col min="15123" max="15123" width="10.3984375" style="1" customWidth="1"/>
    <x:col min="15124" max="15124" width="13.3984375" style="1" customWidth="1"/>
    <x:col min="15125" max="15125" width="35" style="1" customWidth="1"/>
    <x:col min="15126" max="15126" width="15.3984375" style="1" customWidth="1"/>
    <x:col min="15127" max="15367" width="9" style="1" customWidth="0"/>
    <x:col min="15368" max="15368" width="7" style="1" customWidth="1"/>
    <x:col min="15369" max="15369" width="9" style="1" customWidth="0"/>
    <x:col min="15370" max="15370" width="9.46484375" style="1" customWidth="1"/>
    <x:col min="15371" max="15378" width="9" style="1" customWidth="0"/>
    <x:col min="15379" max="15379" width="10.3984375" style="1" customWidth="1"/>
    <x:col min="15380" max="15380" width="13.3984375" style="1" customWidth="1"/>
    <x:col min="15381" max="15381" width="35" style="1" customWidth="1"/>
    <x:col min="15382" max="15382" width="15.3984375" style="1" customWidth="1"/>
    <x:col min="15383" max="15623" width="9" style="1" customWidth="0"/>
    <x:col min="15624" max="15624" width="7" style="1" customWidth="1"/>
    <x:col min="15625" max="15625" width="9" style="1" customWidth="0"/>
    <x:col min="15626" max="15626" width="9.46484375" style="1" customWidth="1"/>
    <x:col min="15627" max="15634" width="9" style="1" customWidth="0"/>
    <x:col min="15635" max="15635" width="10.3984375" style="1" customWidth="1"/>
    <x:col min="15636" max="15636" width="13.3984375" style="1" customWidth="1"/>
    <x:col min="15637" max="15637" width="35" style="1" customWidth="1"/>
    <x:col min="15638" max="15638" width="15.3984375" style="1" customWidth="1"/>
    <x:col min="15639" max="15879" width="9" style="1" customWidth="0"/>
    <x:col min="15880" max="15880" width="7" style="1" customWidth="1"/>
    <x:col min="15881" max="15881" width="9" style="1" customWidth="0"/>
    <x:col min="15882" max="15882" width="9.46484375" style="1" customWidth="1"/>
    <x:col min="15883" max="15890" width="9" style="1" customWidth="0"/>
    <x:col min="15891" max="15891" width="10.3984375" style="1" customWidth="1"/>
    <x:col min="15892" max="15892" width="13.3984375" style="1" customWidth="1"/>
    <x:col min="15893" max="15893" width="35" style="1" customWidth="1"/>
    <x:col min="15894" max="15894" width="15.3984375" style="1" customWidth="1"/>
    <x:col min="15895" max="16135" width="9" style="1" customWidth="0"/>
    <x:col min="16136" max="16136" width="7" style="1" customWidth="1"/>
    <x:col min="16137" max="16137" width="9" style="1" customWidth="0"/>
    <x:col min="16138" max="16138" width="9.46484375" style="1" customWidth="1"/>
    <x:col min="16139" max="16146" width="9" style="1" customWidth="0"/>
    <x:col min="16147" max="16147" width="10.3984375" style="1" customWidth="1"/>
    <x:col min="16148" max="16148" width="13.3984375" style="1" customWidth="1"/>
    <x:col min="16149" max="16149" width="35" style="1" customWidth="1"/>
    <x:col min="16150" max="16150" width="15.3984375" style="1" customWidth="1"/>
    <x:col min="16151" max="16384" width="9" style="1" customWidth="0"/>
    <x:col min="9" max="9" width="20" hidden="0" customWidth="1"/>
    <x:col min="10" max="10" width="20" hidden="0" customWidth="1"/>
    <x:col min="11" max="11" width="20" hidden="0" customWidth="1"/>
  </x:cols>
  <x:sheetData>
    <x:row r="1" ht="60" customHeight="1">
      <x:c r="A1" s="12" t="str">
        <x:v>Sample</x:v>
      </x:c>
      <x:c r="B1" s="13" t="str">
        <x:v>Mass in air
(g)</x:v>
      </x:c>
      <x:c r="C1" s="13" t="str">
        <x:v>Mass in water
(g)</x:v>
      </x:c>
      <x:c r="D1" s="12" t="str">
        <x:v>Water minus air density
(g/cm³)</x:v>
      </x:c>
      <x:c r="E1" s="12" t="str">
        <x:v>Air density
(g/cm³)</x:v>
      </x:c>
      <x:c r="F1" s="12" t="str">
        <x:v>Sample density
(g/cm³)</x:v>
      </x:c>
      <x:c r="G1" s="12" t="str">
        <x:v>Mean density
(g/cm³)</x:v>
      </x:c>
      <x:c r="I1" s="12" t="str">
        <x:v>Transverse velocity VT
(as recorded)</x:v>
      </x:c>
      <x:c r="J1" s="12" t="str">
        <x:v>Longitudinal velocity VL
(as recorded)</x:v>
      </x:c>
      <x:c r="K1" s="12" t="str">
        <x:v>Poisson's ratio nu
(dimensionless)</x:v>
      </x:c>
      <x:c r="L1" s="12" t="str">
        <x:v>Mean Poisson's ratio
(dimensionless)</x:v>
      </x:c>
      <x:c r="M1" s="12" t="str">
        <x:v>Shear modulus
(GPa)</x:v>
      </x:c>
      <x:c r="N1" s="12" t="str">
        <x:v>Mean shear modulus
(GPa)</x:v>
      </x:c>
      <x:c r="O1" s="12" t="str">
        <x:v>Young's modulus
(GPa)</x:v>
      </x:c>
      <x:c r="P1" s="12" t="str">
        <x:v>Mean Young's modulus
(GPa)</x:v>
      </x:c>
      <x:c r="S1" s="3"/>
      <x:c r="T1" s="3"/>
      <x:c r="U1" s="19" t="str">
        <x:v>Poisson's ratio: nu = [1 - 2(VT/VL)^2] / [2 - 2(VT/VL)^2]. The original velocity unit is not specified. The modulus formulas require km/s with density in g/cm³ to yield GPa; the instrument unit remains unverified.</x:v>
      </x:c>
      <x:c r="V1" s="3"/>
    </x:row>
    <x:row r="2">
      <x:c r="U2" s="19"/>
    </x:row>
    <x:row r="3">
      <x:c r="A3" s="1" t="s">
        <x:v>0</x:v>
      </x:c>
      <x:c r="B3" s="1">
        <x:v>39.585000000000001</x:v>
      </x:c>
      <x:c r="C3" s="1">
        <x:v>24.681000000000001</x:v>
      </x:c>
      <x:c r="D3" s="1">
        <x:v>0.99660000000000004</x:v>
      </x:c>
      <x:c r="E3" s="1">
        <x:v>1.1999999999999999E-3</x:v>
      </x:c>
      <x:c r="F3" s="1" t="n">
        <x:f t="shared" ref="F3:F23" si="0">B3/(B3-C3)*D3+E3</x:f>
        <x:v>2.648167995169082</x:v>
      </x:c>
      <x:c r="G3" s="1" t="n">
        <x:f>(F3+F4+F5)/3</x:f>
        <x:v>2.6484609609143814</x:v>
      </x:c>
      <x:c r="I3" s="3">
        <x:v>3.899</x:v>
      </x:c>
      <x:c r="J3" s="3">
        <x:v>7.085</x:v>
      </x:c>
      <x:c r="K3" s="3" t="n">
        <x:f>(1-2*(I3/J3)^2)/(2-2*(I3/J3)^2)</x:f>
        <x:v>0.28279481962921355</x:v>
      </x:c>
      <x:c r="L3" s="8" t="n">
        <x:f>(K3+K4+K5)/3</x:f>
        <x:v>0.2828501535757631</x:v>
      </x:c>
      <x:c r="M3" s="3" t="n">
        <x:f>I3*I3*G3</x:f>
        <x:v>40.262435868473574</x:v>
      </x:c>
      <x:c r="N3" s="8" t="n">
        <x:f>(M3+M4+M5)/3</x:f>
        <x:v>40.22114812773356</x:v>
      </x:c>
      <x:c r="O3" s="1" t="n">
        <x:f>J3^2*G3*(1+K3)*(1-2*K3)/(1-K3)</x:f>
        <x:v>103.2968883154627</x:v>
      </x:c>
      <x:c r="P3" s="7" t="n">
        <x:f>(O3+O4+O5)/3</x:f>
        <x:v>103.19539695091738</x:v>
      </x:c>
    </x:row>
    <x:row r="4">
      <x:c r="B4" s="1">
        <x:v>41.180999999999997</x:v>
      </x:c>
      <x:c r="C4" s="1">
        <x:v>25.678000000000001</x:v>
      </x:c>
      <x:c r="D4" s="1">
        <x:v>0.99660000000000004</x:v>
      </x:c>
      <x:c r="E4" s="1">
        <x:v>1.1999999999999999E-3</x:v>
      </x:c>
      <x:c r="F4" s="1">
        <x:f t="shared" si="0"/>
        <x:v>2.6484930787589502</x:v>
      </x:c>
      <x:c r="G4" s="1" t="n">
        <x:f>(F3+F4+F5)/3</x:f>
        <x:v>2.6484609609143814</x:v>
      </x:c>
      <x:c r="I4" s="5">
        <x:v>3.8969999999999998</x:v>
      </x:c>
      <x:c r="J4" s="5">
        <x:v>7.077</x:v>
      </x:c>
      <x:c r="K4" s="3" t="n">
        <x:f t="shared" ref="K4:K23" si="1">(1-2*(I4/J4)^2)/(2-2*(I4/J4)^2)</x:f>
        <x:v>0.28241009624807856</x:v>
      </x:c>
      <x:c r="L4" s="8"/>
      <x:c r="M4" s="3" t="n">
        <x:f t="shared" ref="M4:M23" si="2">I4*I4*G4</x:f>
        <x:v>40.22114106517099</x:v>
      </x:c>
      <x:c r="N4" s="8"/>
      <x:c r="O4" s="1" t="n">
        <x:f t="shared" ref="O4:O23" si="3">J4^2*G4*(1+K4)*(1-2*K4)/(1-K4)</x:f>
        <x:v>103.159994769187</x:v>
      </x:c>
    </x:row>
    <x:row r="5">
      <x:c r="B5" s="1">
        <x:v>9.282</x:v>
      </x:c>
      <x:c r="C5" s="1">
        <x:v>5.7880000000000003</x:v>
      </x:c>
      <x:c r="D5" s="1">
        <x:v>0.99660000000000004</x:v>
      </x:c>
      <x:c r="E5" s="1">
        <x:v>1.1999999999999999E-3</x:v>
      </x:c>
      <x:c r="F5" s="1">
        <x:f t="shared" si="0"/>
        <x:v>2.6487218088151119</x:v>
      </x:c>
      <x:c r="G5" s="1" t="n">
        <x:f>(F3+F4+F5)/3</x:f>
        <x:v>2.6484609609143814</x:v>
      </x:c>
      <x:c r="I5" s="3">
        <x:v>3.895</x:v>
      </x:c>
      <x:c r="J5" s="3">
        <x:v>7.0839999999999996</x:v>
      </x:c>
      <x:c r="K5" s="3">
        <x:f t="shared" si="1"/>
        <x:v>0.28334554484999736</x:v>
      </x:c>
      <x:c r="L5" s="8"/>
      <x:c r="M5" s="3">
        <x:f t="shared" si="2"/>
        <x:v>40.179867449556106</x:v>
      </x:c>
      <x:c r="N5" s="8"/>
      <x:c r="O5" s="1">
        <x:f t="shared" si="3"/>
        <x:v>103.12930776810249</x:v>
      </x:c>
    </x:row>
    <x:row r="6">
      <x:c r="K6" s="3"/>
      <x:c r="L6" s="8"/>
      <x:c r="M6" s="3"/>
      <x:c r="N6" s="8"/>
    </x:row>
    <x:row r="7">
      <x:c r="A7" s="1" t="s">
        <x:v>1</x:v>
      </x:c>
      <x:c r="B7" s="1">
        <x:v>7.93</x:v>
      </x:c>
      <x:c r="C7" s="1">
        <x:v>4.8890000000000002</x:v>
      </x:c>
      <x:c r="D7" s="1">
        <x:v>0.99660000000000004</x:v>
      </x:c>
      <x:c r="E7" s="1">
        <x:v>1.1999999999999999E-3</x:v>
      </x:c>
      <x:c r="F7" s="1">
        <x:f t="shared" si="0"/>
        <x:v>2.6000286747780339</x:v>
      </x:c>
      <x:c r="G7" s="1" t="n">
        <x:f>(F7+F8+F9)/3</x:f>
        <x:v>2.610366905238437</x:v>
      </x:c>
      <x:c r="I7" s="1">
        <x:v>3.8439999999999999</x:v>
      </x:c>
      <x:c r="J7" s="1">
        <x:v>6.9720000000000004</x:v>
      </x:c>
      <x:c r="K7" s="3">
        <x:f t="shared" si="1"/>
        <x:v>0.28162478813238706</x:v>
      </x:c>
      <x:c r="L7" s="8" t="n">
        <x:f>(K7+K8+K9)/3</x:f>
        <x:v>0.2824064352896592</x:v>
      </x:c>
      <x:c r="M7" s="3">
        <x:f t="shared" si="2"/>
        <x:v>38.571658475083304</x:v>
      </x:c>
      <x:c r="N7" s="8" t="n">
        <x:f>(M7+M8+M9)/3</x:f>
        <x:v>38.50480871888475</x:v>
      </x:c>
      <x:c r="O7" s="1">
        <x:f t="shared" si="3"/>
        <x:v>98.868787242086853</x:v>
      </x:c>
      <x:c r="P7" s="7" t="n">
        <x:f>(O7+O8+O9)/3</x:f>
        <x:v>98.75757239098914</x:v>
      </x:c>
    </x:row>
    <x:row r="8">
      <x:c r="B8" s="1">
        <x:v>13.707000000000001</x:v>
      </x:c>
      <x:c r="C8" s="1">
        <x:v>8.48</x:v>
      </x:c>
      <x:c r="D8" s="1">
        <x:v>0.99660000000000004</x:v>
      </x:c>
      <x:c r="E8" s="1">
        <x:v>1.1999999999999999E-3</x:v>
      </x:c>
      <x:c r="F8" s="1">
        <x:f t="shared" si="0"/>
        <x:v>2.6146295389324661</x:v>
      </x:c>
      <x:c r="G8" s="1">
        <x:v>2.6103669052384371</x:v>
      </x:c>
      <x:c r="I8" s="1">
        <x:v>3.8380000000000001</x:v>
      </x:c>
      <x:c r="J8" s="1">
        <x:v>6.976</x:v>
      </x:c>
      <x:c r="K8" s="3">
        <x:f t="shared" si="1"/>
        <x:v>0.28295957026647828</x:v>
      </x:c>
      <x:c r="L8" s="8"/>
      <x:c r="M8" s="3">
        <x:f t="shared" si="2"/>
        <x:v>38.451341443687056</x:v>
      </x:c>
      <x:c r="N8" s="8"/>
      <x:c r="O8" s="1">
        <x:f t="shared" si="3"/>
        <x:v>98.663032989524694</x:v>
      </x:c>
    </x:row>
    <x:row r="9">
      <x:c r="B9" s="1">
        <x:v>9.8170000000000002</x:v>
      </x:c>
      <x:c r="C9" s="1">
        <x:v>6.0759999999999996</x:v>
      </x:c>
      <x:c r="D9" s="1">
        <x:v>0.99660000000000004</x:v>
      </x:c>
      <x:c r="E9" s="1">
        <x:v>1.1999999999999999E-3</x:v>
      </x:c>
      <x:c r="F9" s="1">
        <x:f t="shared" si="0"/>
        <x:v>2.6164425020048112</x:v>
      </x:c>
      <x:c r="G9" s="1">
        <x:v>2.6103669052384371</x:v>
      </x:c>
      <x:c r="I9" s="1">
        <x:v>3.84</x:v>
      </x:c>
      <x:c r="J9" s="1">
        <x:v>6.976</x:v>
      </x:c>
      <x:c r="K9" s="3">
        <x:f t="shared" si="1"/>
        <x:v>0.28263494747011225</x:v>
      </x:c>
      <x:c r="L9" s="8"/>
      <x:c r="M9" s="3">
        <x:f t="shared" si="2"/>
        <x:v>38.4914262378839</x:v>
      </x:c>
      <x:c r="N9" s="8"/>
      <x:c r="O9" s="1">
        <x:f t="shared" si="3"/>
        <x:v>98.740896941355842</x:v>
      </x:c>
    </x:row>
    <x:row r="10">
      <x:c r="K10" s="3"/>
      <x:c r="L10" s="8"/>
      <x:c r="M10" s="3"/>
      <x:c r="N10" s="8"/>
    </x:row>
    <x:row r="11">
      <x:c r="A11" s="1" t="s">
        <x:v>2</x:v>
      </x:c>
      <x:c r="B11" s="1">
        <x:v>8.4629999999999992</x:v>
      </x:c>
      <x:c r="C11" s="1">
        <x:v>5.2590000000000003</x:v>
      </x:c>
      <x:c r="D11" s="1">
        <x:v>0.99660000000000004</x:v>
      </x:c>
      <x:c r="E11" s="1">
        <x:v>1.1999999999999999E-3</x:v>
      </x:c>
      <x:c r="F11" s="1">
        <x:f t="shared" si="0"/>
        <x:v>2.6336050561797761</x:v>
      </x:c>
      <x:c r="G11" s="1">
        <x:v>2.6278674320208566</x:v>
      </x:c>
      <x:c r="I11" s="1">
        <x:v>3.8620000000000001</x:v>
      </x:c>
      <x:c r="J11" s="1">
        <x:v>7.0060000000000002</x:v>
      </x:c>
      <x:c r="K11" s="3">
        <x:f t="shared" si="1"/>
        <x:v>0.28174591746809502</x:v>
      </x:c>
      <x:c r="L11" s="8" t="n">
        <x:f t="shared" ref="L11:L21" si="4">(K11+K12+K13)/3</x:f>
        <x:v>0.2821704137294086</x:v>
      </x:c>
      <x:c r="M11" s="3">
        <x:f t="shared" si="2"/>
        <x:v>39.194758374758088</x:v>
      </x:c>
      <x:c r="N11" s="8" t="n">
        <x:f t="shared" ref="N11:N21" si="5">(M11+M12+M13)/3</x:f>
        <x:v>39.16770360358962</x:v>
      </x:c>
      <x:c r="O11" s="1">
        <x:f t="shared" si="3"/>
        <x:v>100.47544306598923</x:v>
      </x:c>
      <x:c r="P11" s="7" t="n">
        <x:f>(O11+O12+O13)/3</x:f>
        <x:v>100.43933163283047</x:v>
      </x:c>
    </x:row>
    <x:row r="12">
      <x:c r="B12" s="1">
        <x:v>17.658999999999999</x:v>
      </x:c>
      <x:c r="C12" s="1">
        <x:v>10.973000000000001</x:v>
      </x:c>
      <x:c r="D12" s="1">
        <x:v>0.99660000000000004</x:v>
      </x:c>
      <x:c r="E12" s="1">
        <x:v>1.1999999999999999E-3</x:v>
      </x:c>
      <x:c r="F12" s="1">
        <x:f t="shared" si="0"/>
        <x:v>2.6334104995513017</x:v>
      </x:c>
      <x:c r="G12" s="1" t="n">
        <x:f>(F11+F12+F13)/3</x:f>
        <x:v>2.6278674320208566</x:v>
      </x:c>
      <x:c r="I12" s="1">
        <x:v>3.8610000000000002</x:v>
      </x:c>
      <x:c r="J12" s="1">
        <x:v>7.0119999999999996</x:v>
      </x:c>
      <x:c r="K12" s="3">
        <x:f t="shared" si="1"/>
        <x:v>0.2824436237273108</x:v>
      </x:c>
      <x:c r="L12" s="8"/>
      <x:c r="M12" s="3">
        <x:f t="shared" si="2"/>
        <x:v>39.174463354580588</x:v>
      </x:c>
      <x:c r="N12" s="8"/>
      <x:c r="O12" s="1">
        <x:f t="shared" si="3"/>
        <x:v>100.47808148404216</x:v>
      </x:c>
    </x:row>
    <x:row r="13">
      <x:c r="B13" s="1">
        <x:v>3.3250000000000002</x:v>
      </x:c>
      <x:c r="C13" s="1">
        <x:v>2.0579999999999998</x:v>
      </x:c>
      <x:c r="D13" s="1">
        <x:v>0.99660000000000004</x:v>
      </x:c>
      <x:c r="E13" s="1">
        <x:v>1.1999999999999999E-3</x:v>
      </x:c>
      <x:c r="F13" s="1">
        <x:f t="shared" si="0"/>
        <x:v>2.6165867403314915</x:v>
      </x:c>
      <x:c r="G13" s="1">
        <x:v>2.6278674320208566</x:v>
      </x:c>
      <x:c r="I13" s="1">
        <x:v>3.859</x:v>
      </x:c>
      <x:c r="J13" s="1">
        <x:v>7.0069999999999997</x:v>
      </x:c>
      <x:c r="K13" s="3">
        <x:f t="shared" si="1"/>
        <x:v>0.28232169999281997</x:v>
      </x:c>
      <x:c r="L13" s="8"/>
      <x:c r="M13" s="3">
        <x:f t="shared" si="2"/>
        <x:v>39.133889081430183</x:v>
      </x:c>
      <x:c r="N13" s="8"/>
      <x:c r="O13" s="1">
        <x:f t="shared" si="3"/>
        <x:v>100.36447034846005</x:v>
      </x:c>
    </x:row>
    <x:row r="14">
      <x:c r="K14" s="3"/>
      <x:c r="L14" s="8"/>
      <x:c r="M14" s="3"/>
      <x:c r="N14" s="8"/>
    </x:row>
    <x:row r="15">
      <x:c r="K15" s="3"/>
      <x:c r="L15" s="8"/>
      <x:c r="M15" s="3"/>
      <x:c r="N15" s="8"/>
    </x:row>
    <x:row r="16">
      <x:c r="A16" s="1" t="s">
        <x:v>3</x:v>
      </x:c>
      <x:c r="B16" s="1">
        <x:v>12.004</x:v>
      </x:c>
      <x:c r="C16" s="1">
        <x:v>7.5259999999999998</x:v>
      </x:c>
      <x:c r="D16" s="1">
        <x:v>0.99660000000000004</x:v>
      </x:c>
      <x:c r="E16" s="1">
        <x:v>1.1999999999999999E-3</x:v>
      </x:c>
      <x:c r="F16" s="1">
        <x:f t="shared" si="0"/>
        <x:v>2.6727467619472982</x:v>
      </x:c>
      <x:c r="G16" s="1">
        <x:v>2.6730783928345261</x:v>
      </x:c>
      <x:c r="I16" s="1">
        <x:v>3.8969999999999998</x:v>
      </x:c>
      <x:c r="J16" s="1">
        <x:v>7.1520000000000001</x:v>
      </x:c>
      <x:c r="K16" s="3">
        <x:f t="shared" si="1"/>
        <x:v>0.28886664472836343</x:v>
      </x:c>
      <x:c r="L16" s="8">
        <x:f t="shared" si="4"/>
        <x:v>0.28778816156585069</x:v>
      </x:c>
      <x:c r="M16" s="3">
        <x:f t="shared" si="2"/>
        <x:v>40.59499637832635</x:v>
      </x:c>
      <x:c r="N16" s="8">
        <x:f t="shared" si="5"/>
        <x:v>40.748022988107074</x:v>
      </x:c>
      <x:c r="O16" s="1">
        <x:f t="shared" si="3"/>
        <x:v>104.64307354978706</x:v>
      </x:c>
      <x:c r="P16" s="7" t="n">
        <x:f>(O16+O17+O18)/3</x:f>
        <x:v>104.94940900789341</x:v>
      </x:c>
    </x:row>
    <x:row r="17">
      <x:c r="B17" s="1">
        <x:v>22.771999999999998</x:v>
      </x:c>
      <x:c r="C17" s="1">
        <x:v>14.281000000000001</x:v>
      </x:c>
      <x:c r="D17" s="1">
        <x:v>0.99660000000000004</x:v>
      </x:c>
      <x:c r="E17" s="1">
        <x:v>1.1999999999999999E-3</x:v>
      </x:c>
      <x:c r="F17" s="1">
        <x:f t="shared" si="0"/>
        <x:v>2.6739800259097875</x:v>
      </x:c>
      <x:c r="G17" s="1" t="n">
        <x:f>(F16+F17+F18)/3</x:f>
        <x:v>2.673078392834526</x:v>
      </x:c>
      <x:c r="I17" s="1">
        <x:v>3.9039999999999999</x:v>
      </x:c>
      <x:c r="J17" s="1">
        <x:v>7.1529999999999996</x:v>
      </x:c>
      <x:c r="K17" s="3">
        <x:f t="shared" si="1"/>
        <x:v>0.28786975117297697</x:v>
      </x:c>
      <x:c r="L17" s="8"/>
      <x:c r="M17" s="3">
        <x:f t="shared" si="2"/>
        <x:v>40.740965170123864</x:v>
      </x:c>
      <x:c r="N17" s="8"/>
      <x:c r="O17" s="1">
        <x:f t="shared" si="3"/>
        <x:v>104.93811335238865</x:v>
      </x:c>
    </x:row>
    <x:row r="18">
      <x:c r="B18" s="1">
        <x:v>5.8460000000000001</x:v>
      </x:c>
      <x:c r="C18" s="1">
        <x:v>3.665</x:v>
      </x:c>
      <x:c r="D18" s="1">
        <x:v>0.99660000000000004</x:v>
      </x:c>
      <x:c r="E18" s="1">
        <x:v>1.1999999999999999E-3</x:v>
      </x:c>
      <x:c r="F18" s="1">
        <x:f t="shared" si="0"/>
        <x:v>2.6725083906464921</x:v>
      </x:c>
      <x:c r="G18" s="1">
        <x:v>2.6730783928345261</x:v>
      </x:c>
      <x:c r="I18" s="1">
        <x:v>3.9119999999999999</x:v>
      </x:c>
      <x:c r="J18" s="1">
        <x:v>7.1529999999999996</x:v>
      </x:c>
      <x:c r="K18" s="3">
        <x:f t="shared" si="1"/>
        <x:v>0.28662808879621177</x:v>
      </x:c>
      <x:c r="L18" s="8"/>
      <x:c r="M18" s="3">
        <x:f t="shared" si="2"/>
        <x:v>40.908107415871022</x:v>
      </x:c>
      <x:c r="N18" s="8"/>
      <x:c r="O18" s="1">
        <x:f t="shared" si="3"/>
        <x:v>105.26704012150454</x:v>
      </x:c>
    </x:row>
    <x:row r="19">
      <x:c r="K19" s="3"/>
      <x:c r="L19" s="8"/>
      <x:c r="M19" s="3"/>
      <x:c r="N19" s="8"/>
    </x:row>
    <x:row r="20">
      <x:c r="K20" s="3"/>
      <x:c r="L20" s="8"/>
      <x:c r="M20" s="3"/>
      <x:c r="N20" s="8"/>
    </x:row>
    <x:row r="21">
      <x:c r="A21" s="1" t="s">
        <x:v>4</x:v>
      </x:c>
      <x:c r="B21" s="1">
        <x:v>12.827999999999999</x:v>
      </x:c>
      <x:c r="C21" s="1">
        <x:v>8.0820000000000007</x:v>
      </x:c>
      <x:c r="D21" s="1">
        <x:v>0.99660000000000004</x:v>
      </x:c>
      <x:c r="E21" s="1">
        <x:v>1.1999999999999999E-3</x:v>
      </x:c>
      <x:c r="F21" s="1">
        <x:f t="shared" si="0"/>
        <x:v>2.6949178255372952</x:v>
      </x:c>
      <x:c r="G21" s="1">
        <x:v>2.6951156701935823</x:v>
      </x:c>
      <x:c r="I21" s="1">
        <x:v>3.923</x:v>
      </x:c>
      <x:c r="J21" s="1">
        <x:v>7.202</x:v>
      </x:c>
      <x:c r="K21" s="3">
        <x:f t="shared" si="1"/>
        <x:v>0.28905696790265595</x:v>
      </x:c>
      <x:c r="L21" s="8">
        <x:f t="shared" si="4"/>
        <x:v>0.28880152843476792</x:v>
      </x:c>
      <x:c r="M21" s="3">
        <x:f t="shared" si="2"/>
        <x:v>41.477638811066647</x:v>
      </x:c>
      <x:c r="N21" s="8">
        <x:f t="shared" si="5"/>
        <x:v>41.512904399611131</x:v>
      </x:c>
      <x:c r="O21" s="1">
        <x:f t="shared" si="3"/>
        <x:v>106.93407864311021</x:v>
      </x:c>
      <x:c r="P21" s="7" t="n">
        <x:f>(O21+O22+O23)/3</x:f>
        <x:v>107.0037473742579</x:v>
      </x:c>
    </x:row>
    <x:row r="22">
      <x:c r="B22" s="1">
        <x:v>17.683</x:v>
      </x:c>
      <x:c r="C22" s="1">
        <x:v>11.143000000000001</x:v>
      </x:c>
      <x:c r="D22" s="1">
        <x:v>0.99660000000000004</x:v>
      </x:c>
      <x:c r="E22" s="1">
        <x:v>1.1999999999999999E-3</x:v>
      </x:c>
      <x:c r="F22" s="1">
        <x:f t="shared" si="0"/>
        <x:v>2.6958296330275235</x:v>
      </x:c>
      <x:c r="G22" s="1" t="n">
        <x:f>(F22+F21+F23)/3</x:f>
        <x:v>2.6951156701935823</x:v>
      </x:c>
      <x:c r="I22" s="1">
        <x:v>3.923</x:v>
      </x:c>
      <x:c r="J22" s="1">
        <x:v>7.2030000000000003</x:v>
      </x:c>
      <x:c r="K22" s="3">
        <x:f t="shared" si="1"/>
        <x:v>0.28914023348956308</x:v>
      </x:c>
      <x:c r="L22" s="8"/>
      <x:c r="M22" s="3">
        <x:f t="shared" si="2"/>
        <x:v>41.477638811066647</x:v>
      </x:c>
      <x:c r="N22" s="8"/>
      <x:c r="O22" s="1">
        <x:f t="shared" si="3"/>
        <x:v>106.94098596298841</x:v>
      </x:c>
    </x:row>
    <x:row r="23">
      <x:c r="B23" s="1">
        <x:v>10.859</x:v>
      </x:c>
      <x:c r="C23" s="1">
        <x:v>6.8410000000000002</x:v>
      </x:c>
      <x:c r="D23" s="1">
        <x:v>0.99660000000000004</x:v>
      </x:c>
      <x:c r="E23" s="1">
        <x:v>1.1999999999999999E-3</x:v>
      </x:c>
      <x:c r="F23" s="1">
        <x:f t="shared" si="0"/>
        <x:v>2.6945995520159283</x:v>
      </x:c>
      <x:c r="G23" s="1">
        <x:v>2.6951156701935823</x:v>
      </x:c>
      <x:c r="I23" s="1">
        <x:v>3.9279999999999999</x:v>
      </x:c>
      <x:c r="J23" s="1">
        <x:v>7.2009999999999996</x:v>
      </x:c>
      <x:c r="K23" s="3">
        <x:f t="shared" si="1"/>
        <x:v>0.28820738391208478</x:v>
      </x:c>
      <x:c r="L23" s="8"/>
      <x:c r="M23" s="3">
        <x:f t="shared" si="2"/>
        <x:v>41.583435576700097</x:v>
      </x:c>
      <x:c r="N23" s="8"/>
      <x:c r="O23" s="1">
        <x:f t="shared" si="3"/>
        <x:v>107.13617751667509</x:v>
      </x:c>
    </x:row>
    <x:row r="24">
      <x:c r="K24" s="3"/>
      <x:c r="M24" s="3"/>
    </x:row>
  </x:sheetData>
  <x:mergeCells>
    <x:mergeCell ref="U1:U2"/>
  </x:mergeCells>
  <x:pageMargins left="0.7" right="0.7" top="0.75" bottom="0.75" header="0.3" footer="0.3"/>
</x:worksheet>
</file>